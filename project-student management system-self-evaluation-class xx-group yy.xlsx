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85" windowWidth="19815" windowHeight="7875" activeTab="1"/>
  </bookViews>
  <sheets>
    <sheet name="Summary" sheetId="1" r:id="rId1"/>
    <sheet name="Feature view" sheetId="2" r:id="rId2"/>
    <sheet name="Task view" sheetId="3" r:id="rId3"/>
  </sheets>
  <calcPr calcId="145621"/>
</workbook>
</file>

<file path=xl/calcChain.xml><?xml version="1.0" encoding="utf-8"?>
<calcChain xmlns="http://schemas.openxmlformats.org/spreadsheetml/2006/main">
  <c r="E6" i="1" l="1"/>
  <c r="F5" i="1" s="1"/>
  <c r="D2" i="1"/>
  <c r="C46" i="2"/>
  <c r="D5" i="1"/>
  <c r="D4" i="1"/>
  <c r="D3" i="1"/>
  <c r="F2" i="1" l="1"/>
  <c r="F4" i="1"/>
  <c r="F3" i="1"/>
</calcChain>
</file>

<file path=xl/sharedStrings.xml><?xml version="1.0" encoding="utf-8"?>
<sst xmlns="http://schemas.openxmlformats.org/spreadsheetml/2006/main" count="159" uniqueCount="111">
  <si>
    <t>No</t>
  </si>
  <si>
    <t>Student ID</t>
  </si>
  <si>
    <t>Feature</t>
  </si>
  <si>
    <t>Full Name</t>
  </si>
  <si>
    <t>Mark</t>
  </si>
  <si>
    <t>% contribution by feature</t>
  </si>
  <si>
    <t>hours</t>
  </si>
  <si>
    <t>Student ID 1</t>
  </si>
  <si>
    <t>% contribution by task</t>
  </si>
  <si>
    <t>Student ID 2</t>
  </si>
  <si>
    <t>Student ID 3</t>
  </si>
  <si>
    <t>Student ID 4</t>
  </si>
  <si>
    <t>General</t>
  </si>
  <si>
    <t>x</t>
  </si>
  <si>
    <t>Login</t>
  </si>
  <si>
    <t>Show menu</t>
  </si>
  <si>
    <t>View profile info</t>
  </si>
  <si>
    <t>Change password</t>
  </si>
  <si>
    <t>Logout</t>
  </si>
  <si>
    <t>Staff</t>
  </si>
  <si>
    <t>Import students of a class such as 18CLC6 from a csv file</t>
  </si>
  <si>
    <t>Manually add a new student to a class</t>
  </si>
  <si>
    <t>Edit an existing student</t>
  </si>
  <si>
    <t>Remove a student</t>
  </si>
  <si>
    <t>Change students from class A to class B</t>
  </si>
  <si>
    <t>1. Copy task log vào sheet thứ 3 Task view</t>
  </si>
  <si>
    <t>View list of classes</t>
  </si>
  <si>
    <t>2. Tự đánh giá điểm vào 1 trong 4 cột ở sheet thứ 2 Feature view: mỗi chức năng tối đa chỉ có 2 người có điểm. VD cột đó 2đ thì bạn có thể chia sv thứ nhất 1.5đ, sv thứ 2 0.5đ</t>
  </si>
  <si>
    <t>View list of students in a class</t>
  </si>
  <si>
    <t>3. Cột B, C: điền MSSV, họ tên của mỗi thành viên, lưu ý điền đúng tương ứng với 4 cột D, E, F, G sheet thứ 2 Feature view</t>
  </si>
  <si>
    <t>Create / update / delete / view academic years (2018-2019), and semesters (Fall)</t>
  </si>
  <si>
    <t>From a semester, import courses such as CTT008, CTT010 from a csv file</t>
  </si>
  <si>
    <t>Manually add a new course</t>
  </si>
  <si>
    <t>Edit an existing course</t>
  </si>
  <si>
    <t>Remove a course</t>
  </si>
  <si>
    <t>Remove a specific student from a course</t>
  </si>
  <si>
    <t>Add a specific student to a course</t>
  </si>
  <si>
    <t>View list of courses in the current semester</t>
  </si>
  <si>
    <t>View list of students of a course</t>
  </si>
  <si>
    <r>
      <t xml:space="preserve">4. Cột D: % đóng góp theo chức năng, tương ứng với row 46 ở sheet thứ 2 Feature view </t>
    </r>
    <r>
      <rPr>
        <b/>
        <sz val="10"/>
        <color rgb="FFFF0000"/>
        <rFont val="Arial"/>
      </rPr>
      <t>=&gt; sv ko thay đổi cột này!!!</t>
    </r>
  </si>
  <si>
    <t>View attendance list of a course</t>
  </si>
  <si>
    <t>Create / update / delete / view all lecturers</t>
  </si>
  <si>
    <t>Search and view scoreboard of a course</t>
  </si>
  <si>
    <t>Export a scoreboard to a csv file</t>
  </si>
  <si>
    <t>Search and view attendance list of a course</t>
  </si>
  <si>
    <t>Lecturer</t>
  </si>
  <si>
    <t>5. Cột E: hãy tính tổng thời gian đóng góp của mỗi thành viên vào dự án, có thể cộng thủ công manually, hoặc dùng hàm sumif</t>
  </si>
  <si>
    <t>Export a attendance list to a csv file</t>
  </si>
  <si>
    <t>6. Cột F: phần trăm đóng góp tính theo thời gian làm (ai làm nhiều thời gian hơn, sẽ có phần trăm cao hơn)</t>
  </si>
  <si>
    <t>2 main flows là nhập - xem điểm và điểm danh - xem điểm danh, nếu ko có 1 trong 2 thì sẽ 0đ</t>
  </si>
  <si>
    <t>Edit an attendance</t>
  </si>
  <si>
    <t>Import scoreboard of a course (midterm, final, lab, bonus) from a csv file</t>
  </si>
  <si>
    <t>Edit grade of a student</t>
  </si>
  <si>
    <t>View a scoreboard</t>
  </si>
  <si>
    <t>Student</t>
  </si>
  <si>
    <t>Check-in</t>
  </si>
  <si>
    <t>View check-in result</t>
  </si>
  <si>
    <t>View schedules</t>
  </si>
  <si>
    <t>View his/her scores of a course</t>
  </si>
  <si>
    <t>Encrypted password</t>
  </si>
  <si>
    <t>Binary file</t>
  </si>
  <si>
    <t>Total</t>
  </si>
  <si>
    <t>Le Tuan Khanh</t>
  </si>
  <si>
    <t>Ngo Minh Khoi</t>
  </si>
  <si>
    <t>STT</t>
  </si>
  <si>
    <t>MSSV</t>
  </si>
  <si>
    <t>Họ tên</t>
  </si>
  <si>
    <t>Ngày (yyyy-mm-dd)</t>
  </si>
  <si>
    <t>Task</t>
  </si>
  <si>
    <t>Thời gian (hours)</t>
  </si>
  <si>
    <t>Lê Tuấn Khanh</t>
  </si>
  <si>
    <t>implement login function: for admins, students and lecturers</t>
  </si>
  <si>
    <t xml:space="preserve">implement password changing function </t>
  </si>
  <si>
    <t>implement student importing function: read file csv and convert to txt file</t>
  </si>
  <si>
    <t>implement logout function</t>
  </si>
  <si>
    <t>implement class list viewing function</t>
  </si>
  <si>
    <t>implement student-in-a-class viewing function</t>
  </si>
  <si>
    <t>implement function to import courses from a semester</t>
  </si>
  <si>
    <t>implement function to search and view scoreboard of a list</t>
  </si>
  <si>
    <t>implement function to export a scoreboard to a csv file</t>
  </si>
  <si>
    <t>implement function to view list of students of a course</t>
  </si>
  <si>
    <t>implement function to view a scoreboard of a course</t>
  </si>
  <si>
    <t>implement function to view a schedule of a class</t>
  </si>
  <si>
    <t>implement function to view scores of a specific student</t>
  </si>
  <si>
    <t>Apply color decorations to the program</t>
  </si>
  <si>
    <t>apply password masking feature</t>
  </si>
  <si>
    <t>create and get data for source files (courses, login,....)</t>
  </si>
  <si>
    <t>implement student menu function</t>
  </si>
  <si>
    <t>Ngô Minh Khôi</t>
  </si>
  <si>
    <t>apply keyboard control</t>
  </si>
  <si>
    <t>implement function to view profile info</t>
  </si>
  <si>
    <t>implement function to add a student to a class</t>
  </si>
  <si>
    <t>implement function to edit a student information</t>
  </si>
  <si>
    <t>implement function to remove a student from a class</t>
  </si>
  <si>
    <t>implement function to change a student from class A to B</t>
  </si>
  <si>
    <t>implement function to create / update / delete / view academic years (2018-2019), and semesters (Fall)</t>
  </si>
  <si>
    <t>implement function to add a course</t>
  </si>
  <si>
    <t>implement function to remove a course</t>
  </si>
  <si>
    <t>implement function to edit a course</t>
  </si>
  <si>
    <t>implement function to remove a student from a course</t>
  </si>
  <si>
    <t>implement function to add a student to a course</t>
  </si>
  <si>
    <t>implement function to view list of courses in the current semester</t>
  </si>
  <si>
    <t>implement function to create / update / delete / view all lecturers</t>
  </si>
  <si>
    <t>implement function to import scoreboard of a course (midterm, final, bonus, average) from a csv file</t>
  </si>
  <si>
    <t>implement function to edit grade of a student</t>
  </si>
  <si>
    <t>update function to view list of student of a course</t>
  </si>
  <si>
    <t xml:space="preserve">decorate login menu </t>
  </si>
  <si>
    <t>implement admin menu function</t>
  </si>
  <si>
    <t>implement lecturer menu function</t>
  </si>
  <si>
    <t>18125087(0.25)</t>
  </si>
  <si>
    <t>18125090(0.25)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</si>
</sst>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color rgb="FFFF0000"/>
      <name val="Arial"/>
    </font>
    <font>
      <sz val="10"/>
      <name val="Arial"/>
    </font>
    <font>
      <b/>
      <u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B6D7A8"/>
      </left>
      <right/>
      <top style="thin">
        <color rgb="FFB6D7A8"/>
      </top>
      <bottom style="thin">
        <color rgb="FFB6D7A8"/>
      </bottom>
      <diagonal/>
    </border>
    <border>
      <left/>
      <right style="thin">
        <color rgb="FFB6D7A8"/>
      </right>
      <top style="thin">
        <color rgb="FFB6D7A8"/>
      </top>
      <bottom style="thin">
        <color rgb="FFB6D7A8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3" fillId="0" borderId="1" xfId="0" applyFont="1" applyBorder="1" applyAlignment="1"/>
    <xf numFmtId="0" fontId="3" fillId="3" borderId="1" xfId="0" applyFont="1" applyFill="1" applyBorder="1" applyAlignment="1"/>
    <xf numFmtId="0" fontId="4" fillId="0" borderId="1" xfId="0" applyFont="1" applyBorder="1" applyAlignment="1"/>
    <xf numFmtId="0" fontId="3" fillId="4" borderId="1" xfId="0" applyFont="1" applyFill="1" applyBorder="1" applyAlignment="1"/>
    <xf numFmtId="10" fontId="3" fillId="3" borderId="1" xfId="0" applyNumberFormat="1" applyFont="1" applyFill="1" applyBorder="1"/>
    <xf numFmtId="0" fontId="3" fillId="0" borderId="1" xfId="0" applyFont="1" applyBorder="1"/>
    <xf numFmtId="0" fontId="5" fillId="0" borderId="1" xfId="0" applyFont="1" applyBorder="1" applyAlignment="1"/>
    <xf numFmtId="0" fontId="3" fillId="4" borderId="1" xfId="0" applyFont="1" applyFill="1" applyBorder="1"/>
    <xf numFmtId="0" fontId="5" fillId="4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5" fillId="4" borderId="1" xfId="0" applyFont="1" applyFill="1" applyBorder="1"/>
    <xf numFmtId="0" fontId="5" fillId="4" borderId="1" xfId="0" applyFont="1" applyFill="1" applyBorder="1" applyAlignment="1"/>
    <xf numFmtId="0" fontId="1" fillId="2" borderId="0" xfId="0" applyFont="1" applyFill="1" applyAlignment="1"/>
    <xf numFmtId="164" fontId="3" fillId="0" borderId="0" xfId="0" applyNumberFormat="1" applyFont="1"/>
    <xf numFmtId="164" fontId="3" fillId="0" borderId="0" xfId="0" applyNumberFormat="1" applyFont="1" applyAlignment="1"/>
    <xf numFmtId="0" fontId="5" fillId="0" borderId="2" xfId="0" applyFont="1" applyBorder="1" applyAlignment="1">
      <alignment horizontal="right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"/>
  <sheetViews>
    <sheetView workbookViewId="0">
      <pane ySplit="1" topLeftCell="A2" activePane="bottomLeft" state="frozen"/>
      <selection pane="bottomLeft" activeCell="F12" sqref="F12"/>
    </sheetView>
  </sheetViews>
  <sheetFormatPr defaultColWidth="14.42578125" defaultRowHeight="15.75" customHeight="1" x14ac:dyDescent="0.2"/>
  <cols>
    <col min="4" max="4" width="23.5703125" customWidth="1"/>
    <col min="5" max="6" width="21" customWidth="1"/>
  </cols>
  <sheetData>
    <row r="1" spans="1:8" ht="15.75" customHeight="1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H1" s="2"/>
    </row>
    <row r="2" spans="1:8" ht="15.75" customHeight="1" x14ac:dyDescent="0.2">
      <c r="A2" s="4">
        <v>1</v>
      </c>
      <c r="B2" s="3">
        <v>18125087</v>
      </c>
      <c r="C2" s="3" t="s">
        <v>62</v>
      </c>
      <c r="D2" s="7">
        <f>'Feature view'!D46/40</f>
        <v>0.35625000000000001</v>
      </c>
      <c r="E2" s="3">
        <v>22.5</v>
      </c>
      <c r="F2" s="7">
        <f t="shared" ref="F2:F5" si="0">E2/$E$6</f>
        <v>0.49450549450549453</v>
      </c>
    </row>
    <row r="3" spans="1:8" ht="15.75" customHeight="1" x14ac:dyDescent="0.2">
      <c r="A3" s="4">
        <v>2</v>
      </c>
      <c r="B3" s="3">
        <v>18125090</v>
      </c>
      <c r="C3" s="3" t="s">
        <v>63</v>
      </c>
      <c r="D3" s="7">
        <f>'Feature view'!E46/40</f>
        <v>0.35625000000000001</v>
      </c>
      <c r="E3" s="3">
        <v>23</v>
      </c>
      <c r="F3" s="7">
        <f t="shared" si="0"/>
        <v>0.50549450549450547</v>
      </c>
    </row>
    <row r="4" spans="1:8" ht="15.75" customHeight="1" x14ac:dyDescent="0.2">
      <c r="A4" s="4">
        <v>3</v>
      </c>
      <c r="B4" s="3" t="s">
        <v>13</v>
      </c>
      <c r="C4" s="3" t="s">
        <v>13</v>
      </c>
      <c r="D4" s="7">
        <f>'Feature view'!F46/40</f>
        <v>0</v>
      </c>
      <c r="E4" s="3">
        <v>0</v>
      </c>
      <c r="F4" s="7">
        <f t="shared" si="0"/>
        <v>0</v>
      </c>
    </row>
    <row r="5" spans="1:8" ht="15.75" customHeight="1" x14ac:dyDescent="0.2">
      <c r="A5" s="4">
        <v>4</v>
      </c>
      <c r="B5" s="3" t="s">
        <v>13</v>
      </c>
      <c r="C5" s="3" t="s">
        <v>13</v>
      </c>
      <c r="D5" s="7">
        <f>'Feature view'!G46/40</f>
        <v>0</v>
      </c>
      <c r="E5" s="3">
        <v>0</v>
      </c>
      <c r="F5" s="7">
        <f t="shared" si="0"/>
        <v>0</v>
      </c>
    </row>
    <row r="6" spans="1:8" ht="15.75" customHeight="1" x14ac:dyDescent="0.2">
      <c r="E6" s="11">
        <f>SUM(E2:E5)</f>
        <v>45.5</v>
      </c>
    </row>
    <row r="7" spans="1:8" ht="15.75" customHeight="1" x14ac:dyDescent="0.2">
      <c r="B7" s="12" t="s">
        <v>25</v>
      </c>
    </row>
    <row r="8" spans="1:8" ht="15.75" customHeight="1" x14ac:dyDescent="0.2">
      <c r="B8" s="12" t="s">
        <v>27</v>
      </c>
    </row>
    <row r="9" spans="1:8" ht="15.75" customHeight="1" x14ac:dyDescent="0.2">
      <c r="B9" s="12" t="s">
        <v>29</v>
      </c>
    </row>
    <row r="10" spans="1:8" ht="15.75" customHeight="1" x14ac:dyDescent="0.2">
      <c r="B10" s="13" t="s">
        <v>39</v>
      </c>
    </row>
    <row r="11" spans="1:8" ht="15.75" customHeight="1" x14ac:dyDescent="0.2">
      <c r="B11" s="12" t="s">
        <v>46</v>
      </c>
    </row>
    <row r="12" spans="1:8" ht="15.75" customHeight="1" x14ac:dyDescent="0.2">
      <c r="B12" s="12" t="s">
        <v>48</v>
      </c>
    </row>
    <row r="14" spans="1:8" ht="15.75" customHeight="1" x14ac:dyDescent="0.2">
      <c r="B14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6"/>
  <sheetViews>
    <sheetView tabSelected="1" workbookViewId="0">
      <pane ySplit="1" topLeftCell="A20" activePane="bottomLeft" state="frozen"/>
      <selection pane="bottomLeft" activeCell="D35" sqref="D35"/>
    </sheetView>
  </sheetViews>
  <sheetFormatPr defaultColWidth="14.42578125" defaultRowHeight="15.75" customHeight="1" x14ac:dyDescent="0.2"/>
  <cols>
    <col min="2" max="2" width="68.42578125" customWidth="1"/>
  </cols>
  <sheetData>
    <row r="1" spans="1:7" ht="15.75" customHeight="1" x14ac:dyDescent="0.2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11</v>
      </c>
    </row>
    <row r="2" spans="1:7" ht="15.75" customHeight="1" x14ac:dyDescent="0.2">
      <c r="A2" s="3"/>
      <c r="B2" s="5" t="s">
        <v>12</v>
      </c>
      <c r="C2" s="6"/>
      <c r="D2" s="8"/>
      <c r="E2" s="8"/>
      <c r="F2" s="8"/>
      <c r="G2" s="8"/>
    </row>
    <row r="3" spans="1:7" ht="15.75" customHeight="1" x14ac:dyDescent="0.2">
      <c r="A3" s="3">
        <v>1</v>
      </c>
      <c r="B3" s="9" t="s">
        <v>14</v>
      </c>
      <c r="C3" s="10">
        <v>1</v>
      </c>
      <c r="D3" s="8">
        <v>18125087</v>
      </c>
      <c r="E3" s="8"/>
      <c r="F3" s="8"/>
      <c r="G3" s="8"/>
    </row>
    <row r="4" spans="1:7" ht="15.75" customHeight="1" x14ac:dyDescent="0.2">
      <c r="A4" s="3">
        <v>2</v>
      </c>
      <c r="B4" s="3" t="s">
        <v>15</v>
      </c>
      <c r="C4" s="10">
        <v>0.5</v>
      </c>
      <c r="D4" s="8"/>
      <c r="E4" s="8">
        <v>18125090</v>
      </c>
      <c r="F4" s="8"/>
      <c r="G4" s="8"/>
    </row>
    <row r="5" spans="1:7" ht="15.75" customHeight="1" x14ac:dyDescent="0.2">
      <c r="A5" s="3">
        <v>3</v>
      </c>
      <c r="B5" s="3" t="s">
        <v>16</v>
      </c>
      <c r="C5" s="10">
        <v>0.5</v>
      </c>
      <c r="D5" s="8"/>
      <c r="E5" s="8">
        <v>18125090</v>
      </c>
      <c r="F5" s="8"/>
      <c r="G5" s="8"/>
    </row>
    <row r="6" spans="1:7" ht="15.75" customHeight="1" x14ac:dyDescent="0.2">
      <c r="A6" s="3">
        <v>4</v>
      </c>
      <c r="B6" s="3" t="s">
        <v>17</v>
      </c>
      <c r="C6" s="10">
        <v>0.5</v>
      </c>
      <c r="D6" s="8">
        <v>18125087</v>
      </c>
      <c r="E6" s="8"/>
      <c r="F6" s="8"/>
      <c r="G6" s="8"/>
    </row>
    <row r="7" spans="1:7" ht="15.75" customHeight="1" x14ac:dyDescent="0.2">
      <c r="A7" s="3">
        <v>5</v>
      </c>
      <c r="B7" s="3" t="s">
        <v>18</v>
      </c>
      <c r="C7" s="10">
        <v>0.5</v>
      </c>
      <c r="D7" s="8">
        <v>18125087</v>
      </c>
      <c r="E7" s="8"/>
      <c r="F7" s="8"/>
      <c r="G7" s="8"/>
    </row>
    <row r="8" spans="1:7" ht="15.75" customHeight="1" x14ac:dyDescent="0.2">
      <c r="A8" s="3"/>
      <c r="B8" s="5" t="s">
        <v>19</v>
      </c>
      <c r="C8" s="10"/>
      <c r="D8" s="8"/>
      <c r="E8" s="8"/>
      <c r="F8" s="8"/>
      <c r="G8" s="8"/>
    </row>
    <row r="9" spans="1:7" ht="15.75" customHeight="1" x14ac:dyDescent="0.2">
      <c r="A9" s="3">
        <v>6</v>
      </c>
      <c r="B9" s="9" t="s">
        <v>20</v>
      </c>
      <c r="C9" s="10">
        <v>2</v>
      </c>
      <c r="D9" s="8">
        <v>18125087</v>
      </c>
      <c r="E9" s="8"/>
      <c r="F9" s="8"/>
      <c r="G9" s="8"/>
    </row>
    <row r="10" spans="1:7" ht="15.75" customHeight="1" x14ac:dyDescent="0.2">
      <c r="A10" s="3">
        <v>7</v>
      </c>
      <c r="B10" s="3" t="s">
        <v>21</v>
      </c>
      <c r="C10" s="10">
        <v>0.5</v>
      </c>
      <c r="D10" s="8"/>
      <c r="E10" s="8">
        <v>18125090</v>
      </c>
      <c r="F10" s="8"/>
      <c r="G10" s="8"/>
    </row>
    <row r="11" spans="1:7" ht="15.75" customHeight="1" x14ac:dyDescent="0.2">
      <c r="A11" s="3">
        <v>8</v>
      </c>
      <c r="B11" s="3" t="s">
        <v>22</v>
      </c>
      <c r="C11" s="10">
        <v>0.5</v>
      </c>
      <c r="D11" s="8"/>
      <c r="E11" s="8">
        <v>18125090</v>
      </c>
      <c r="F11" s="8"/>
      <c r="G11" s="8"/>
    </row>
    <row r="12" spans="1:7" ht="15.75" customHeight="1" x14ac:dyDescent="0.2">
      <c r="A12" s="3">
        <v>9</v>
      </c>
      <c r="B12" s="3" t="s">
        <v>23</v>
      </c>
      <c r="C12" s="10">
        <v>0.5</v>
      </c>
      <c r="D12" s="8"/>
      <c r="E12" s="8">
        <v>18125090</v>
      </c>
      <c r="F12" s="8"/>
      <c r="G12" s="8"/>
    </row>
    <row r="13" spans="1:7" ht="15.75" customHeight="1" x14ac:dyDescent="0.2">
      <c r="A13" s="3">
        <v>10</v>
      </c>
      <c r="B13" s="9" t="s">
        <v>24</v>
      </c>
      <c r="C13" s="10">
        <v>1</v>
      </c>
      <c r="D13" s="8"/>
      <c r="E13" s="8">
        <v>18125090</v>
      </c>
      <c r="F13" s="8"/>
      <c r="G13" s="8"/>
    </row>
    <row r="14" spans="1:7" ht="15.75" customHeight="1" x14ac:dyDescent="0.2">
      <c r="A14" s="3">
        <v>11</v>
      </c>
      <c r="B14" s="3" t="s">
        <v>26</v>
      </c>
      <c r="C14" s="10">
        <v>0.5</v>
      </c>
      <c r="D14" s="8">
        <v>18125087</v>
      </c>
      <c r="E14" s="8"/>
      <c r="F14" s="8"/>
      <c r="G14" s="8"/>
    </row>
    <row r="15" spans="1:7" ht="15.75" customHeight="1" x14ac:dyDescent="0.2">
      <c r="A15" s="3">
        <v>12</v>
      </c>
      <c r="B15" s="9" t="s">
        <v>28</v>
      </c>
      <c r="C15" s="10">
        <v>2</v>
      </c>
      <c r="D15" s="8">
        <v>18125087</v>
      </c>
      <c r="E15" s="8"/>
      <c r="F15" s="8"/>
      <c r="G15" s="8"/>
    </row>
    <row r="16" spans="1:7" ht="15.75" customHeight="1" x14ac:dyDescent="0.2">
      <c r="A16" s="3">
        <v>13</v>
      </c>
      <c r="B16" s="3" t="s">
        <v>30</v>
      </c>
      <c r="C16" s="10">
        <v>0.5</v>
      </c>
      <c r="D16" s="8"/>
      <c r="E16" s="8">
        <v>18125090</v>
      </c>
      <c r="F16" s="8"/>
      <c r="G16" s="8"/>
    </row>
    <row r="17" spans="1:7" ht="15.75" customHeight="1" x14ac:dyDescent="0.2">
      <c r="A17" s="3">
        <v>14</v>
      </c>
      <c r="B17" s="9" t="s">
        <v>31</v>
      </c>
      <c r="C17" s="10">
        <v>2</v>
      </c>
      <c r="D17" s="8">
        <v>18125087</v>
      </c>
      <c r="E17" s="8"/>
      <c r="F17" s="8"/>
      <c r="G17" s="8"/>
    </row>
    <row r="18" spans="1:7" ht="15.75" customHeight="1" x14ac:dyDescent="0.2">
      <c r="A18" s="3">
        <v>15</v>
      </c>
      <c r="B18" s="3" t="s">
        <v>32</v>
      </c>
      <c r="C18" s="10">
        <v>0.5</v>
      </c>
      <c r="D18" s="8"/>
      <c r="E18" s="8">
        <v>18125090</v>
      </c>
      <c r="F18" s="8"/>
      <c r="G18" s="8"/>
    </row>
    <row r="19" spans="1:7" ht="15.75" customHeight="1" x14ac:dyDescent="0.2">
      <c r="A19" s="3">
        <v>16</v>
      </c>
      <c r="B19" s="3" t="s">
        <v>33</v>
      </c>
      <c r="C19" s="10">
        <v>0.5</v>
      </c>
      <c r="D19" s="8"/>
      <c r="E19" s="8">
        <v>18125090</v>
      </c>
      <c r="F19" s="8"/>
      <c r="G19" s="8"/>
    </row>
    <row r="20" spans="1:7" ht="15.75" customHeight="1" x14ac:dyDescent="0.2">
      <c r="A20" s="3">
        <v>17</v>
      </c>
      <c r="B20" s="3" t="s">
        <v>34</v>
      </c>
      <c r="C20" s="10">
        <v>0.5</v>
      </c>
      <c r="D20" s="8"/>
      <c r="E20" s="8">
        <v>18125090</v>
      </c>
      <c r="F20" s="8"/>
      <c r="G20" s="8"/>
    </row>
    <row r="21" spans="1:7" ht="15.75" customHeight="1" x14ac:dyDescent="0.2">
      <c r="A21" s="3">
        <v>18</v>
      </c>
      <c r="B21" s="3" t="s">
        <v>35</v>
      </c>
      <c r="C21" s="10">
        <v>0.5</v>
      </c>
      <c r="D21" s="8"/>
      <c r="E21" s="8">
        <v>18125090</v>
      </c>
      <c r="F21" s="8"/>
      <c r="G21" s="8"/>
    </row>
    <row r="22" spans="1:7" ht="15.75" customHeight="1" x14ac:dyDescent="0.2">
      <c r="A22" s="3">
        <v>19</v>
      </c>
      <c r="B22" s="9" t="s">
        <v>36</v>
      </c>
      <c r="C22" s="10">
        <v>1</v>
      </c>
      <c r="D22" s="8"/>
      <c r="E22" s="8">
        <v>18125090</v>
      </c>
      <c r="F22" s="8"/>
      <c r="G22" s="8"/>
    </row>
    <row r="23" spans="1:7" ht="15.75" customHeight="1" x14ac:dyDescent="0.2">
      <c r="A23" s="3">
        <v>20</v>
      </c>
      <c r="B23" s="9" t="s">
        <v>37</v>
      </c>
      <c r="C23" s="10">
        <v>2</v>
      </c>
      <c r="D23" s="8"/>
      <c r="E23" s="8">
        <v>18125090</v>
      </c>
      <c r="F23" s="8"/>
      <c r="G23" s="8"/>
    </row>
    <row r="24" spans="1:7" ht="12.75" x14ac:dyDescent="0.2">
      <c r="A24" s="3">
        <v>21</v>
      </c>
      <c r="B24" s="9" t="s">
        <v>38</v>
      </c>
      <c r="C24" s="10">
        <v>1</v>
      </c>
      <c r="D24" s="8"/>
      <c r="E24" s="8">
        <v>18125090</v>
      </c>
      <c r="F24" s="8"/>
      <c r="G24" s="8"/>
    </row>
    <row r="25" spans="1:7" ht="12.75" x14ac:dyDescent="0.2">
      <c r="A25" s="3">
        <v>22</v>
      </c>
      <c r="B25" s="9" t="s">
        <v>40</v>
      </c>
      <c r="C25" s="10">
        <v>2</v>
      </c>
      <c r="D25" s="8"/>
      <c r="E25" s="8"/>
      <c r="F25" s="8"/>
      <c r="G25" s="8"/>
    </row>
    <row r="26" spans="1:7" ht="12.75" x14ac:dyDescent="0.2">
      <c r="A26" s="3">
        <v>23</v>
      </c>
      <c r="B26" s="3" t="s">
        <v>41</v>
      </c>
      <c r="C26" s="10">
        <v>0.5</v>
      </c>
      <c r="D26" s="8"/>
      <c r="E26" s="8">
        <v>18125090</v>
      </c>
      <c r="F26" s="8"/>
      <c r="G26" s="8"/>
    </row>
    <row r="27" spans="1:7" ht="12.75" x14ac:dyDescent="0.2">
      <c r="A27" s="3">
        <v>24</v>
      </c>
      <c r="B27" s="9" t="s">
        <v>42</v>
      </c>
      <c r="C27" s="10">
        <v>2</v>
      </c>
      <c r="D27" s="8">
        <v>18125087</v>
      </c>
      <c r="E27" s="8"/>
      <c r="F27" s="8"/>
      <c r="G27" s="8"/>
    </row>
    <row r="28" spans="1:7" ht="12.75" x14ac:dyDescent="0.2">
      <c r="A28" s="3">
        <v>25</v>
      </c>
      <c r="B28" s="3" t="s">
        <v>43</v>
      </c>
      <c r="C28" s="10">
        <v>0.5</v>
      </c>
      <c r="D28" s="8">
        <v>18125087</v>
      </c>
      <c r="E28" s="8"/>
      <c r="F28" s="8"/>
      <c r="G28" s="8"/>
    </row>
    <row r="29" spans="1:7" ht="12.75" x14ac:dyDescent="0.2">
      <c r="A29" s="3">
        <v>26</v>
      </c>
      <c r="B29" s="9" t="s">
        <v>44</v>
      </c>
      <c r="C29" s="10">
        <v>2</v>
      </c>
      <c r="D29" s="8"/>
      <c r="E29" s="8"/>
      <c r="F29" s="8"/>
      <c r="G29" s="8"/>
    </row>
    <row r="30" spans="1:7" ht="12.75" x14ac:dyDescent="0.2">
      <c r="A30" s="3"/>
      <c r="B30" s="5" t="s">
        <v>45</v>
      </c>
      <c r="C30" s="10"/>
      <c r="D30" s="8"/>
      <c r="E30" s="8"/>
      <c r="F30" s="8"/>
      <c r="G30" s="8"/>
    </row>
    <row r="31" spans="1:7" ht="12.75" x14ac:dyDescent="0.2">
      <c r="A31" s="3">
        <v>27</v>
      </c>
      <c r="B31" s="3" t="s">
        <v>47</v>
      </c>
      <c r="C31" s="10">
        <v>0.5</v>
      </c>
      <c r="D31" s="8"/>
      <c r="E31" s="8"/>
      <c r="F31" s="8"/>
      <c r="G31" s="8"/>
    </row>
    <row r="32" spans="1:7" ht="12.75" x14ac:dyDescent="0.2">
      <c r="A32" s="3">
        <v>28</v>
      </c>
      <c r="B32" s="3" t="s">
        <v>37</v>
      </c>
      <c r="C32" s="10">
        <v>0.5</v>
      </c>
      <c r="D32" s="8"/>
      <c r="E32" s="8">
        <v>18125090</v>
      </c>
      <c r="F32" s="8"/>
      <c r="G32" s="8"/>
    </row>
    <row r="33" spans="1:7" ht="12.75" x14ac:dyDescent="0.2">
      <c r="A33" s="3">
        <v>29</v>
      </c>
      <c r="B33" s="3" t="s">
        <v>38</v>
      </c>
      <c r="C33" s="10">
        <v>0.5</v>
      </c>
      <c r="D33" s="8" t="s">
        <v>109</v>
      </c>
      <c r="E33" s="8" t="s">
        <v>110</v>
      </c>
      <c r="F33" s="8"/>
      <c r="G33" s="8"/>
    </row>
    <row r="34" spans="1:7" ht="12.75" x14ac:dyDescent="0.2">
      <c r="A34" s="3">
        <v>30</v>
      </c>
      <c r="B34" s="9" t="s">
        <v>40</v>
      </c>
      <c r="C34" s="10">
        <v>2</v>
      </c>
      <c r="D34" s="8"/>
      <c r="E34" s="8"/>
      <c r="F34" s="8"/>
      <c r="G34" s="8"/>
    </row>
    <row r="35" spans="1:7" ht="12.75" x14ac:dyDescent="0.2">
      <c r="A35" s="3">
        <v>31</v>
      </c>
      <c r="B35" s="9" t="s">
        <v>50</v>
      </c>
      <c r="C35" s="10">
        <v>1</v>
      </c>
      <c r="D35" s="8"/>
      <c r="E35" s="8"/>
      <c r="F35" s="8"/>
      <c r="G35" s="8"/>
    </row>
    <row r="36" spans="1:7" ht="12.75" x14ac:dyDescent="0.2">
      <c r="A36" s="3">
        <v>32</v>
      </c>
      <c r="B36" s="9" t="s">
        <v>51</v>
      </c>
      <c r="C36" s="10">
        <v>2</v>
      </c>
      <c r="D36" s="8"/>
      <c r="E36" s="8">
        <v>18125090</v>
      </c>
      <c r="F36" s="8"/>
      <c r="G36" s="8"/>
    </row>
    <row r="37" spans="1:7" ht="12.75" x14ac:dyDescent="0.2">
      <c r="A37" s="3">
        <v>33</v>
      </c>
      <c r="B37" s="9" t="s">
        <v>52</v>
      </c>
      <c r="C37" s="10">
        <v>1</v>
      </c>
      <c r="D37" s="8"/>
      <c r="E37" s="8">
        <v>18125090</v>
      </c>
      <c r="F37" s="8"/>
      <c r="G37" s="8"/>
    </row>
    <row r="38" spans="1:7" ht="12.75" x14ac:dyDescent="0.2">
      <c r="A38" s="3">
        <v>34</v>
      </c>
      <c r="B38" s="9" t="s">
        <v>53</v>
      </c>
      <c r="C38" s="10">
        <v>1</v>
      </c>
      <c r="D38" s="8">
        <v>18125087</v>
      </c>
      <c r="E38" s="8"/>
      <c r="F38" s="8"/>
      <c r="G38" s="8"/>
    </row>
    <row r="39" spans="1:7" ht="12.75" x14ac:dyDescent="0.2">
      <c r="A39" s="3"/>
      <c r="B39" s="5" t="s">
        <v>54</v>
      </c>
      <c r="C39" s="10"/>
      <c r="D39" s="8"/>
      <c r="E39" s="8"/>
      <c r="F39" s="8"/>
      <c r="G39" s="8"/>
    </row>
    <row r="40" spans="1:7" ht="12.75" x14ac:dyDescent="0.2">
      <c r="A40" s="3">
        <v>35</v>
      </c>
      <c r="B40" s="9" t="s">
        <v>55</v>
      </c>
      <c r="C40" s="10">
        <v>2</v>
      </c>
      <c r="D40" s="8"/>
      <c r="E40" s="8"/>
      <c r="F40" s="8"/>
      <c r="G40" s="8"/>
    </row>
    <row r="41" spans="1:7" ht="12.75" x14ac:dyDescent="0.2">
      <c r="A41" s="3">
        <v>36</v>
      </c>
      <c r="B41" s="9" t="s">
        <v>56</v>
      </c>
      <c r="C41" s="10">
        <v>1</v>
      </c>
      <c r="D41" s="8"/>
      <c r="E41" s="8"/>
      <c r="F41" s="8"/>
      <c r="G41" s="8"/>
    </row>
    <row r="42" spans="1:7" ht="12.75" x14ac:dyDescent="0.2">
      <c r="A42" s="3">
        <v>37</v>
      </c>
      <c r="B42" s="9" t="s">
        <v>57</v>
      </c>
      <c r="C42" s="10">
        <v>1</v>
      </c>
      <c r="D42" s="8">
        <v>18125087</v>
      </c>
      <c r="E42" s="8"/>
      <c r="F42" s="8"/>
      <c r="G42" s="8"/>
    </row>
    <row r="43" spans="1:7" ht="12.75" x14ac:dyDescent="0.2">
      <c r="A43" s="3">
        <v>38</v>
      </c>
      <c r="B43" s="9" t="s">
        <v>58</v>
      </c>
      <c r="C43" s="10">
        <v>1</v>
      </c>
      <c r="D43" s="8">
        <v>18125087</v>
      </c>
      <c r="E43" s="8"/>
      <c r="F43" s="8"/>
      <c r="G43" s="8"/>
    </row>
    <row r="44" spans="1:7" ht="12.75" x14ac:dyDescent="0.2">
      <c r="A44" s="3">
        <v>39</v>
      </c>
      <c r="B44" s="3" t="s">
        <v>59</v>
      </c>
      <c r="C44" s="10">
        <v>0.5</v>
      </c>
      <c r="D44" s="8"/>
      <c r="E44" s="8"/>
      <c r="F44" s="8"/>
      <c r="G44" s="8"/>
    </row>
    <row r="45" spans="1:7" ht="12.75" x14ac:dyDescent="0.2">
      <c r="A45" s="3">
        <v>40</v>
      </c>
      <c r="B45" s="3" t="s">
        <v>60</v>
      </c>
      <c r="C45" s="10">
        <v>0.5</v>
      </c>
      <c r="D45" s="8"/>
      <c r="E45" s="8"/>
      <c r="F45" s="8"/>
      <c r="G45" s="8"/>
    </row>
    <row r="46" spans="1:7" ht="12.75" x14ac:dyDescent="0.2">
      <c r="A46" s="19" t="s">
        <v>61</v>
      </c>
      <c r="B46" s="20"/>
      <c r="C46" s="14">
        <f>SUM(C3:C45)</f>
        <v>40</v>
      </c>
      <c r="D46" s="15">
        <v>14.25</v>
      </c>
      <c r="E46" s="15">
        <v>14.25</v>
      </c>
      <c r="F46" s="15"/>
      <c r="G46" s="15"/>
    </row>
  </sheetData>
  <mergeCells count="1">
    <mergeCell ref="A46:B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1"/>
  <sheetViews>
    <sheetView workbookViewId="0">
      <pane ySplit="1" topLeftCell="A20" activePane="bottomLeft" state="frozen"/>
      <selection pane="bottomLeft" activeCell="E13" sqref="E13"/>
    </sheetView>
  </sheetViews>
  <sheetFormatPr defaultColWidth="14.42578125" defaultRowHeight="15.75" customHeight="1" x14ac:dyDescent="0.2"/>
  <cols>
    <col min="5" max="5" width="70" customWidth="1"/>
    <col min="6" max="6" width="22.140625" customWidth="1"/>
  </cols>
  <sheetData>
    <row r="1" spans="1:6" ht="15.75" customHeight="1" x14ac:dyDescent="0.2">
      <c r="A1" s="16" t="s">
        <v>64</v>
      </c>
      <c r="B1" s="16" t="s">
        <v>65</v>
      </c>
      <c r="C1" s="16" t="s">
        <v>66</v>
      </c>
      <c r="D1" s="16" t="s">
        <v>67</v>
      </c>
      <c r="E1" s="16" t="s">
        <v>68</v>
      </c>
      <c r="F1" s="16" t="s">
        <v>69</v>
      </c>
    </row>
    <row r="2" spans="1:6" ht="15.75" customHeight="1" x14ac:dyDescent="0.2">
      <c r="A2" s="13">
        <v>1</v>
      </c>
      <c r="B2">
        <v>18125087</v>
      </c>
      <c r="C2" t="s">
        <v>70</v>
      </c>
      <c r="D2" s="17">
        <v>43525</v>
      </c>
      <c r="E2" t="s">
        <v>71</v>
      </c>
      <c r="F2">
        <v>3</v>
      </c>
    </row>
    <row r="3" spans="1:6" ht="15.75" customHeight="1" x14ac:dyDescent="0.2">
      <c r="A3" s="13">
        <v>2</v>
      </c>
      <c r="B3">
        <v>18125087</v>
      </c>
      <c r="C3" t="s">
        <v>70</v>
      </c>
      <c r="D3" s="17">
        <v>43528</v>
      </c>
      <c r="E3" t="s">
        <v>72</v>
      </c>
      <c r="F3">
        <v>2</v>
      </c>
    </row>
    <row r="4" spans="1:6" ht="15.75" customHeight="1" x14ac:dyDescent="0.2">
      <c r="A4" s="13">
        <v>3</v>
      </c>
      <c r="B4">
        <v>18125087</v>
      </c>
      <c r="C4" t="s">
        <v>70</v>
      </c>
      <c r="D4" s="17">
        <v>43532</v>
      </c>
      <c r="E4" t="s">
        <v>73</v>
      </c>
      <c r="F4">
        <v>1</v>
      </c>
    </row>
    <row r="5" spans="1:6" ht="15.75" customHeight="1" x14ac:dyDescent="0.2">
      <c r="A5" s="13">
        <v>4</v>
      </c>
      <c r="B5">
        <v>18125087</v>
      </c>
      <c r="C5" t="s">
        <v>70</v>
      </c>
      <c r="D5" s="17">
        <v>43534</v>
      </c>
      <c r="E5" t="s">
        <v>74</v>
      </c>
      <c r="F5">
        <v>0.5</v>
      </c>
    </row>
    <row r="6" spans="1:6" ht="15.75" customHeight="1" x14ac:dyDescent="0.2">
      <c r="A6" s="13">
        <v>5</v>
      </c>
      <c r="B6">
        <v>18125087</v>
      </c>
      <c r="C6" t="s">
        <v>70</v>
      </c>
      <c r="D6" s="17">
        <v>43538</v>
      </c>
      <c r="E6" t="s">
        <v>75</v>
      </c>
      <c r="F6">
        <v>0.5</v>
      </c>
    </row>
    <row r="7" spans="1:6" ht="15.75" customHeight="1" x14ac:dyDescent="0.2">
      <c r="A7" s="13">
        <v>6</v>
      </c>
      <c r="B7">
        <v>18125087</v>
      </c>
      <c r="C7" t="s">
        <v>70</v>
      </c>
      <c r="D7" s="18">
        <v>43538</v>
      </c>
      <c r="E7" t="s">
        <v>76</v>
      </c>
      <c r="F7">
        <v>0.5</v>
      </c>
    </row>
    <row r="8" spans="1:6" ht="15.75" customHeight="1" x14ac:dyDescent="0.2">
      <c r="A8" s="13">
        <v>7</v>
      </c>
      <c r="B8">
        <v>18125087</v>
      </c>
      <c r="C8" t="s">
        <v>70</v>
      </c>
      <c r="D8" s="18">
        <v>43539</v>
      </c>
      <c r="E8" t="s">
        <v>77</v>
      </c>
      <c r="F8">
        <v>1</v>
      </c>
    </row>
    <row r="9" spans="1:6" ht="15.75" customHeight="1" x14ac:dyDescent="0.2">
      <c r="A9" s="13">
        <v>8</v>
      </c>
      <c r="B9">
        <v>18125087</v>
      </c>
      <c r="C9" t="s">
        <v>70</v>
      </c>
      <c r="D9" s="18">
        <v>43540</v>
      </c>
      <c r="E9" t="s">
        <v>78</v>
      </c>
      <c r="F9">
        <v>2</v>
      </c>
    </row>
    <row r="10" spans="1:6" ht="15.75" customHeight="1" x14ac:dyDescent="0.2">
      <c r="A10" s="13">
        <v>9</v>
      </c>
      <c r="B10">
        <v>18125087</v>
      </c>
      <c r="C10" t="s">
        <v>70</v>
      </c>
      <c r="D10" s="18">
        <v>43541</v>
      </c>
      <c r="E10" t="s">
        <v>79</v>
      </c>
      <c r="F10">
        <v>0.5</v>
      </c>
    </row>
    <row r="11" spans="1:6" ht="15.75" customHeight="1" x14ac:dyDescent="0.2">
      <c r="A11" s="13">
        <v>10</v>
      </c>
      <c r="B11">
        <v>18125087</v>
      </c>
      <c r="C11" t="s">
        <v>70</v>
      </c>
      <c r="D11" s="18">
        <v>43542</v>
      </c>
      <c r="E11" t="s">
        <v>80</v>
      </c>
      <c r="F11">
        <v>1.5</v>
      </c>
    </row>
    <row r="12" spans="1:6" ht="15.75" customHeight="1" x14ac:dyDescent="0.2">
      <c r="A12" s="13">
        <v>11</v>
      </c>
      <c r="B12">
        <v>18125087</v>
      </c>
      <c r="C12" t="s">
        <v>70</v>
      </c>
      <c r="D12" s="18">
        <v>43544</v>
      </c>
      <c r="E12" t="s">
        <v>81</v>
      </c>
      <c r="F12">
        <v>0.5</v>
      </c>
    </row>
    <row r="13" spans="1:6" ht="15.75" customHeight="1" x14ac:dyDescent="0.2">
      <c r="A13" s="13">
        <v>12</v>
      </c>
      <c r="B13">
        <v>18125087</v>
      </c>
      <c r="C13" t="s">
        <v>70</v>
      </c>
      <c r="D13" s="18">
        <v>43546</v>
      </c>
      <c r="E13" t="s">
        <v>82</v>
      </c>
      <c r="F13">
        <v>1</v>
      </c>
    </row>
    <row r="14" spans="1:6" ht="15.75" customHeight="1" x14ac:dyDescent="0.2">
      <c r="A14" s="13">
        <v>13</v>
      </c>
      <c r="B14">
        <v>18125087</v>
      </c>
      <c r="C14" t="s">
        <v>70</v>
      </c>
      <c r="D14" s="18">
        <v>43549</v>
      </c>
      <c r="E14" t="s">
        <v>83</v>
      </c>
      <c r="F14">
        <v>1</v>
      </c>
    </row>
    <row r="15" spans="1:6" ht="15.75" customHeight="1" x14ac:dyDescent="0.2">
      <c r="A15" s="13">
        <v>14</v>
      </c>
      <c r="B15">
        <v>18125087</v>
      </c>
      <c r="C15" t="s">
        <v>70</v>
      </c>
      <c r="D15" s="18">
        <v>43559</v>
      </c>
      <c r="E15" t="s">
        <v>84</v>
      </c>
      <c r="F15">
        <v>1.5</v>
      </c>
    </row>
    <row r="16" spans="1:6" ht="15.75" customHeight="1" x14ac:dyDescent="0.2">
      <c r="A16" s="13">
        <v>15</v>
      </c>
      <c r="B16">
        <v>18125087</v>
      </c>
      <c r="C16" t="s">
        <v>70</v>
      </c>
      <c r="D16" s="18">
        <v>43560</v>
      </c>
      <c r="E16" t="s">
        <v>85</v>
      </c>
      <c r="F16">
        <v>1</v>
      </c>
    </row>
    <row r="17" spans="1:6" ht="15.75" customHeight="1" x14ac:dyDescent="0.2">
      <c r="A17" s="13">
        <v>16</v>
      </c>
      <c r="B17">
        <v>18125087</v>
      </c>
      <c r="C17" t="s">
        <v>70</v>
      </c>
      <c r="D17" s="18">
        <v>43561</v>
      </c>
      <c r="E17" t="s">
        <v>86</v>
      </c>
      <c r="F17">
        <v>3</v>
      </c>
    </row>
    <row r="18" spans="1:6" ht="15.75" customHeight="1" x14ac:dyDescent="0.2">
      <c r="A18" s="13">
        <v>17</v>
      </c>
      <c r="B18">
        <v>18125087</v>
      </c>
      <c r="C18" t="s">
        <v>70</v>
      </c>
      <c r="D18" s="18">
        <v>43468</v>
      </c>
      <c r="E18" t="s">
        <v>87</v>
      </c>
      <c r="F18">
        <v>2</v>
      </c>
    </row>
    <row r="19" spans="1:6" ht="15.75" customHeight="1" x14ac:dyDescent="0.2">
      <c r="A19" s="13">
        <v>18</v>
      </c>
      <c r="B19">
        <v>18125090</v>
      </c>
      <c r="C19" t="s">
        <v>88</v>
      </c>
      <c r="D19" s="17">
        <v>43525</v>
      </c>
      <c r="E19" t="s">
        <v>89</v>
      </c>
      <c r="F19">
        <v>1.5</v>
      </c>
    </row>
    <row r="20" spans="1:6" ht="15.75" customHeight="1" x14ac:dyDescent="0.2">
      <c r="A20" s="13">
        <v>19</v>
      </c>
      <c r="B20">
        <v>18125090</v>
      </c>
      <c r="C20" t="s">
        <v>88</v>
      </c>
      <c r="D20" s="17">
        <v>43528</v>
      </c>
      <c r="E20" t="s">
        <v>90</v>
      </c>
      <c r="F20">
        <v>0.5</v>
      </c>
    </row>
    <row r="21" spans="1:6" ht="15.75" customHeight="1" x14ac:dyDescent="0.2">
      <c r="A21" s="13">
        <v>20</v>
      </c>
      <c r="B21">
        <v>18125090</v>
      </c>
      <c r="C21" t="s">
        <v>88</v>
      </c>
      <c r="D21" s="17">
        <v>43532</v>
      </c>
      <c r="E21" t="s">
        <v>91</v>
      </c>
      <c r="F21">
        <v>1</v>
      </c>
    </row>
    <row r="22" spans="1:6" ht="15.75" customHeight="1" x14ac:dyDescent="0.2">
      <c r="A22" s="13">
        <v>21</v>
      </c>
      <c r="B22">
        <v>18125090</v>
      </c>
      <c r="C22" t="s">
        <v>88</v>
      </c>
      <c r="D22" s="17">
        <v>43534</v>
      </c>
      <c r="E22" t="s">
        <v>92</v>
      </c>
      <c r="F22">
        <v>1</v>
      </c>
    </row>
    <row r="23" spans="1:6" ht="15.75" customHeight="1" x14ac:dyDescent="0.2">
      <c r="A23" s="13">
        <v>22</v>
      </c>
      <c r="B23">
        <v>18125090</v>
      </c>
      <c r="C23" t="s">
        <v>88</v>
      </c>
      <c r="D23" s="17">
        <v>43538</v>
      </c>
      <c r="E23" t="s">
        <v>93</v>
      </c>
      <c r="F23">
        <v>1.5</v>
      </c>
    </row>
    <row r="24" spans="1:6" ht="15.75" customHeight="1" x14ac:dyDescent="0.2">
      <c r="A24" s="13">
        <v>23</v>
      </c>
      <c r="B24">
        <v>18125090</v>
      </c>
      <c r="C24" t="s">
        <v>88</v>
      </c>
      <c r="D24" s="18">
        <v>43538</v>
      </c>
      <c r="E24" t="s">
        <v>94</v>
      </c>
      <c r="F24">
        <v>2</v>
      </c>
    </row>
    <row r="25" spans="1:6" ht="15.75" customHeight="1" x14ac:dyDescent="0.2">
      <c r="A25" s="13">
        <v>24</v>
      </c>
      <c r="B25">
        <v>18125090</v>
      </c>
      <c r="C25" t="s">
        <v>88</v>
      </c>
      <c r="D25" s="18">
        <v>43539</v>
      </c>
      <c r="E25" t="s">
        <v>95</v>
      </c>
      <c r="F25">
        <v>2</v>
      </c>
    </row>
    <row r="26" spans="1:6" ht="15.75" customHeight="1" x14ac:dyDescent="0.2">
      <c r="A26" s="13">
        <v>25</v>
      </c>
      <c r="B26">
        <v>18125090</v>
      </c>
      <c r="C26" t="s">
        <v>88</v>
      </c>
      <c r="D26" s="18">
        <v>43540</v>
      </c>
      <c r="E26" t="s">
        <v>96</v>
      </c>
      <c r="F26">
        <v>0.5</v>
      </c>
    </row>
    <row r="27" spans="1:6" ht="15.75" customHeight="1" x14ac:dyDescent="0.2">
      <c r="A27" s="13">
        <v>26</v>
      </c>
      <c r="B27">
        <v>18125090</v>
      </c>
      <c r="C27" t="s">
        <v>88</v>
      </c>
      <c r="D27" s="18">
        <v>43541</v>
      </c>
      <c r="E27" t="s">
        <v>97</v>
      </c>
      <c r="F27">
        <v>0.5</v>
      </c>
    </row>
    <row r="28" spans="1:6" ht="15.75" customHeight="1" x14ac:dyDescent="0.2">
      <c r="A28" s="13">
        <v>27</v>
      </c>
      <c r="B28">
        <v>18125090</v>
      </c>
      <c r="C28" t="s">
        <v>88</v>
      </c>
      <c r="D28" s="18">
        <v>43542</v>
      </c>
      <c r="E28" t="s">
        <v>98</v>
      </c>
      <c r="F28">
        <v>0.5</v>
      </c>
    </row>
    <row r="29" spans="1:6" ht="15.75" customHeight="1" x14ac:dyDescent="0.2">
      <c r="A29" s="13">
        <v>28</v>
      </c>
      <c r="B29">
        <v>18125090</v>
      </c>
      <c r="C29" t="s">
        <v>88</v>
      </c>
      <c r="D29" s="18">
        <v>43544</v>
      </c>
      <c r="E29" t="s">
        <v>99</v>
      </c>
      <c r="F29">
        <v>0.5</v>
      </c>
    </row>
    <row r="30" spans="1:6" ht="15.75" customHeight="1" x14ac:dyDescent="0.2">
      <c r="A30" s="13">
        <v>29</v>
      </c>
      <c r="B30">
        <v>18125090</v>
      </c>
      <c r="C30" t="s">
        <v>88</v>
      </c>
      <c r="D30" s="18">
        <v>43546</v>
      </c>
      <c r="E30" t="s">
        <v>100</v>
      </c>
      <c r="F30">
        <v>1</v>
      </c>
    </row>
    <row r="31" spans="1:6" ht="15.75" customHeight="1" x14ac:dyDescent="0.2">
      <c r="A31" s="13">
        <v>30</v>
      </c>
      <c r="B31">
        <v>18125090</v>
      </c>
      <c r="C31" t="s">
        <v>88</v>
      </c>
      <c r="D31" s="18">
        <v>43549</v>
      </c>
      <c r="E31" t="s">
        <v>101</v>
      </c>
      <c r="F31">
        <v>0.5</v>
      </c>
    </row>
    <row r="32" spans="1:6" ht="15.75" customHeight="1" x14ac:dyDescent="0.2">
      <c r="A32" s="13">
        <v>31</v>
      </c>
      <c r="B32">
        <v>18125090</v>
      </c>
      <c r="C32" t="s">
        <v>88</v>
      </c>
      <c r="D32" s="18">
        <v>43559</v>
      </c>
      <c r="E32" t="s">
        <v>80</v>
      </c>
      <c r="F32">
        <v>0.5</v>
      </c>
    </row>
    <row r="33" spans="1:6" ht="15.75" customHeight="1" x14ac:dyDescent="0.2">
      <c r="A33" s="13">
        <v>32</v>
      </c>
      <c r="B33">
        <v>18125090</v>
      </c>
      <c r="C33" t="s">
        <v>88</v>
      </c>
      <c r="D33" s="18">
        <v>43560</v>
      </c>
      <c r="E33" t="s">
        <v>102</v>
      </c>
      <c r="F33">
        <v>2</v>
      </c>
    </row>
    <row r="34" spans="1:6" ht="15.75" customHeight="1" x14ac:dyDescent="0.2">
      <c r="A34" s="13">
        <v>33</v>
      </c>
      <c r="B34">
        <v>18125090</v>
      </c>
      <c r="C34" t="s">
        <v>88</v>
      </c>
      <c r="D34" s="18">
        <v>43561</v>
      </c>
      <c r="E34" t="s">
        <v>101</v>
      </c>
      <c r="F34">
        <v>0.5</v>
      </c>
    </row>
    <row r="35" spans="1:6" ht="15.75" customHeight="1" x14ac:dyDescent="0.2">
      <c r="A35" s="13">
        <v>34</v>
      </c>
      <c r="B35">
        <v>18125090</v>
      </c>
      <c r="C35" t="s">
        <v>88</v>
      </c>
      <c r="D35" s="18">
        <v>43561</v>
      </c>
      <c r="E35" t="s">
        <v>80</v>
      </c>
      <c r="F35">
        <v>1</v>
      </c>
    </row>
    <row r="36" spans="1:6" ht="15.75" customHeight="1" x14ac:dyDescent="0.2">
      <c r="A36" s="13">
        <v>35</v>
      </c>
      <c r="B36">
        <v>18125090</v>
      </c>
      <c r="C36" t="s">
        <v>88</v>
      </c>
      <c r="D36" s="18">
        <v>43561</v>
      </c>
      <c r="E36" t="s">
        <v>103</v>
      </c>
      <c r="F36">
        <v>1.5</v>
      </c>
    </row>
    <row r="37" spans="1:6" ht="15.75" customHeight="1" x14ac:dyDescent="0.2">
      <c r="A37" s="13">
        <v>36</v>
      </c>
      <c r="B37">
        <v>18125090</v>
      </c>
      <c r="C37" t="s">
        <v>88</v>
      </c>
      <c r="D37" s="18">
        <v>43562</v>
      </c>
      <c r="E37" t="s">
        <v>104</v>
      </c>
      <c r="F37">
        <v>1</v>
      </c>
    </row>
    <row r="38" spans="1:6" ht="15.75" customHeight="1" x14ac:dyDescent="0.2">
      <c r="A38" s="13">
        <v>37</v>
      </c>
      <c r="B38">
        <v>18125090</v>
      </c>
      <c r="C38" t="s">
        <v>88</v>
      </c>
      <c r="D38" s="18">
        <v>43562</v>
      </c>
      <c r="E38" t="s">
        <v>105</v>
      </c>
      <c r="F38">
        <v>0.5</v>
      </c>
    </row>
    <row r="39" spans="1:6" ht="15.75" customHeight="1" x14ac:dyDescent="0.2">
      <c r="A39" s="13">
        <v>38</v>
      </c>
      <c r="B39">
        <v>18125090</v>
      </c>
      <c r="C39" t="s">
        <v>88</v>
      </c>
      <c r="D39" s="18">
        <v>43563</v>
      </c>
      <c r="E39" t="s">
        <v>106</v>
      </c>
      <c r="F39">
        <v>0.5</v>
      </c>
    </row>
    <row r="40" spans="1:6" ht="15.75" customHeight="1" x14ac:dyDescent="0.2">
      <c r="A40" s="13">
        <v>39</v>
      </c>
      <c r="B40">
        <v>18125090</v>
      </c>
      <c r="C40" t="s">
        <v>88</v>
      </c>
      <c r="D40" s="18">
        <v>43564</v>
      </c>
      <c r="E40" t="s">
        <v>107</v>
      </c>
      <c r="F40">
        <v>1</v>
      </c>
    </row>
    <row r="41" spans="1:6" ht="15.75" customHeight="1" x14ac:dyDescent="0.2">
      <c r="A41" s="13">
        <v>40</v>
      </c>
      <c r="B41">
        <v>18125090</v>
      </c>
      <c r="C41" t="s">
        <v>88</v>
      </c>
      <c r="D41" s="18">
        <v>43564</v>
      </c>
      <c r="E41" t="s">
        <v>108</v>
      </c>
      <c r="F41">
        <v>1.5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 view</vt:lpstr>
      <vt:lpstr>Task 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2019-04-11T14:01:11Z</dcterms:modified>
</cp:coreProperties>
</file>